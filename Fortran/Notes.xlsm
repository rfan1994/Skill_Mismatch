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Skill_Mismatch/Fortran/"/>
    </mc:Choice>
  </mc:AlternateContent>
  <xr:revisionPtr revIDLastSave="0" documentId="13_ncr:1_{68E0F304-63BA-3242-8183-63273D76BC9E}" xr6:coauthVersionLast="47" xr6:coauthVersionMax="47" xr10:uidLastSave="{00000000-0000-0000-0000-000000000000}"/>
  <bookViews>
    <workbookView xWindow="2200" yWindow="1940" windowWidth="25600" windowHeight="13820" activeTab="2" xr2:uid="{BC8805B0-0905-1A4C-AFB3-0FFA1B2DB57C}"/>
  </bookViews>
  <sheets>
    <sheet name="Calibrate" sheetId="2" r:id="rId1"/>
    <sheet name="Calibration_1" sheetId="5" r:id="rId2"/>
    <sheet name="Calibration_2" sheetId="6" r:id="rId3"/>
    <sheet name="Simulation" sheetId="7" r:id="rId4"/>
    <sheet name="Policy1" sheetId="9" r:id="rId5"/>
    <sheet name="Policy2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" i="7" l="1"/>
  <c r="L7" i="7"/>
  <c r="K5" i="7"/>
  <c r="L5" i="7"/>
  <c r="M5" i="7"/>
  <c r="N5" i="7"/>
  <c r="O5" i="7"/>
  <c r="P5" i="7"/>
  <c r="Q5" i="7"/>
  <c r="K6" i="7"/>
  <c r="M6" i="7"/>
  <c r="O6" i="7"/>
  <c r="P6" i="7"/>
  <c r="Q6" i="7"/>
  <c r="K7" i="7"/>
  <c r="M7" i="7"/>
  <c r="N7" i="7"/>
  <c r="O7" i="7"/>
  <c r="L3" i="7"/>
  <c r="M3" i="7"/>
  <c r="N3" i="7"/>
  <c r="O3" i="7"/>
  <c r="P3" i="7"/>
  <c r="Q3" i="7"/>
  <c r="C3" i="7"/>
  <c r="D3" i="7"/>
  <c r="F3" i="7"/>
  <c r="G3" i="7"/>
  <c r="H3" i="7"/>
  <c r="I3" i="7"/>
  <c r="J3" i="7"/>
  <c r="K3" i="7"/>
  <c r="C5" i="7"/>
  <c r="D5" i="7"/>
  <c r="E5" i="7"/>
  <c r="F5" i="7"/>
  <c r="G5" i="7"/>
  <c r="J5" i="7"/>
  <c r="A3" i="6"/>
  <c r="B3" i="6"/>
  <c r="C3" i="6"/>
  <c r="D3" i="6"/>
  <c r="E3" i="6"/>
  <c r="F3" i="6"/>
  <c r="G3" i="6"/>
  <c r="H3" i="6"/>
  <c r="I3" i="6"/>
  <c r="J3" i="6"/>
  <c r="K3" i="6"/>
  <c r="L3" i="6"/>
  <c r="M3" i="6"/>
  <c r="B2" i="6"/>
  <c r="C2" i="6"/>
  <c r="D2" i="6"/>
  <c r="F2" i="6"/>
  <c r="G2" i="6"/>
  <c r="H2" i="6"/>
  <c r="I2" i="6"/>
  <c r="J2" i="6"/>
  <c r="K2" i="6"/>
  <c r="L2" i="6"/>
  <c r="M2" i="6"/>
  <c r="A3" i="5"/>
  <c r="B3" i="5"/>
  <c r="C3" i="5"/>
  <c r="D3" i="5"/>
  <c r="E3" i="5"/>
  <c r="F3" i="5"/>
  <c r="G3" i="5"/>
  <c r="H3" i="5"/>
  <c r="I3" i="5"/>
  <c r="J3" i="5"/>
  <c r="K3" i="5"/>
  <c r="L3" i="5"/>
  <c r="M3" i="5"/>
  <c r="B2" i="5"/>
  <c r="C2" i="5"/>
  <c r="D2" i="5"/>
  <c r="F2" i="5"/>
  <c r="G2" i="5"/>
  <c r="H2" i="5"/>
  <c r="I2" i="5"/>
  <c r="J2" i="5"/>
  <c r="K2" i="5"/>
  <c r="L2" i="5"/>
  <c r="M2" i="5"/>
  <c r="E2" i="9"/>
  <c r="C6" i="7"/>
  <c r="D6" i="7"/>
  <c r="E6" i="7"/>
  <c r="F6" i="7"/>
  <c r="G6" i="7"/>
  <c r="H6" i="7"/>
  <c r="I6" i="7"/>
  <c r="J6" i="7"/>
  <c r="C7" i="7"/>
  <c r="D7" i="7"/>
  <c r="E7" i="7"/>
  <c r="F7" i="7"/>
  <c r="G7" i="7"/>
  <c r="H7" i="7"/>
  <c r="I7" i="7"/>
  <c r="J7" i="7"/>
  <c r="W3" i="2"/>
  <c r="Y3" i="2"/>
  <c r="AB3" i="2"/>
  <c r="AC3" i="2"/>
  <c r="AD3" i="2"/>
  <c r="E3" i="9"/>
  <c r="E4" i="9"/>
  <c r="E5" i="9"/>
  <c r="E6" i="9"/>
  <c r="E7" i="9"/>
  <c r="A2" i="6"/>
  <c r="S7" i="2"/>
  <c r="A2" i="5"/>
  <c r="AE3" i="2"/>
  <c r="S3" i="2"/>
  <c r="V7" i="2"/>
  <c r="W7" i="2"/>
  <c r="X7" i="2"/>
  <c r="Y7" i="2"/>
  <c r="Z7" i="2"/>
  <c r="AA7" i="2"/>
  <c r="AB7" i="2"/>
  <c r="AC7" i="2"/>
  <c r="AD7" i="2"/>
  <c r="AE7" i="2"/>
  <c r="AF7" i="2"/>
  <c r="R7" i="2" l="1"/>
  <c r="T7" i="2"/>
  <c r="U7" i="2"/>
</calcChain>
</file>

<file path=xl/sharedStrings.xml><?xml version="1.0" encoding="utf-8"?>
<sst xmlns="http://schemas.openxmlformats.org/spreadsheetml/2006/main" count="97" uniqueCount="38">
  <si>
    <t>phi1</t>
  </si>
  <si>
    <t>phi2</t>
  </si>
  <si>
    <t>phi3</t>
  </si>
  <si>
    <t>mu_a</t>
  </si>
  <si>
    <t>kappa</t>
  </si>
  <si>
    <t>w_grow_out0</t>
  </si>
  <si>
    <t>var_ab0</t>
  </si>
  <si>
    <t>corr_ab0</t>
  </si>
  <si>
    <t>train_revenues0</t>
  </si>
  <si>
    <t>R_D_revenues0</t>
  </si>
  <si>
    <t>d_mean0</t>
  </si>
  <si>
    <t>2007-2013</t>
  </si>
  <si>
    <t>phi4</t>
  </si>
  <si>
    <t>u_mean0</t>
  </si>
  <si>
    <t>lambda_a</t>
  </si>
  <si>
    <t>lambda_b</t>
  </si>
  <si>
    <t>psi</t>
  </si>
  <si>
    <t>mu_b</t>
  </si>
  <si>
    <t>a_shock</t>
  </si>
  <si>
    <t>b_shock</t>
  </si>
  <si>
    <t>alpha_u</t>
  </si>
  <si>
    <t>alpha_o</t>
  </si>
  <si>
    <t>w_grow_in0</t>
  </si>
  <si>
    <t>return_L0</t>
  </si>
  <si>
    <t>LFPR</t>
  </si>
  <si>
    <t>LFPR0</t>
  </si>
  <si>
    <t>lambda_e</t>
  </si>
  <si>
    <t xml:space="preserve"> </t>
  </si>
  <si>
    <t>b_u</t>
  </si>
  <si>
    <t>Revenue</t>
  </si>
  <si>
    <t>u</t>
  </si>
  <si>
    <t>EN0</t>
  </si>
  <si>
    <t>UN0</t>
  </si>
  <si>
    <t>EE0</t>
  </si>
  <si>
    <t>phi_a</t>
  </si>
  <si>
    <t>Mismatch</t>
  </si>
  <si>
    <t>s_L0</t>
  </si>
  <si>
    <t>1987-1993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</si>
</sst>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Arial Unicode MS"/>
      <family val="2"/>
    </font>
    <font>
      <sz val="10"/>
      <color rgb="FF800000"/>
      <name val="Arial Unicode MS"/>
      <family val="2"/>
    </font>
    <font>
      <sz val="10"/>
      <color rgb="FF008000"/>
      <name val="Arial Unicode MS"/>
      <family val="2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8</xdr:row>
      <xdr:rowOff>0</xdr:rowOff>
    </xdr:from>
    <xdr:to>
      <xdr:col>3</xdr:col>
      <xdr:colOff>635000</xdr:colOff>
      <xdr:row>9</xdr:row>
      <xdr:rowOff>114300</xdr:rowOff>
    </xdr:to>
    <xdr:sp macro="[0]!Sheet5.SaveAsTxtFile" textlink="">
      <xdr:nvSpPr>
        <xdr:cNvPr id="4" name="Rounded Rectangle 3">
          <a:extLst>
            <a:ext uri="{FF2B5EF4-FFF2-40B4-BE49-F238E27FC236}">
              <a16:creationId xmlns:a16="http://schemas.microsoft.com/office/drawing/2014/main" id="{2980DA06-9A2D-C748-8392-57758EAFD0C6}"/>
            </a:ext>
          </a:extLst>
        </xdr:cNvPr>
        <xdr:cNvSpPr/>
      </xdr:nvSpPr>
      <xdr:spPr>
        <a:xfrm>
          <a:off x="2489200" y="1422400"/>
          <a:ext cx="622300" cy="31750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0</xdr:rowOff>
    </xdr:from>
    <xdr:to>
      <xdr:col>3</xdr:col>
      <xdr:colOff>622300</xdr:colOff>
      <xdr:row>9</xdr:row>
      <xdr:rowOff>114300</xdr:rowOff>
    </xdr:to>
    <xdr:sp macro="[0]!Sheet6.SaveAsTxtFile" textlink="">
      <xdr:nvSpPr>
        <xdr:cNvPr id="2" name="Rounded Rectangle 1">
          <a:extLst>
            <a:ext uri="{FF2B5EF4-FFF2-40B4-BE49-F238E27FC236}">
              <a16:creationId xmlns:a16="http://schemas.microsoft.com/office/drawing/2014/main" id="{74E6F139-D5AC-F045-95FA-D7E2C80D740A}"/>
            </a:ext>
          </a:extLst>
        </xdr:cNvPr>
        <xdr:cNvSpPr/>
      </xdr:nvSpPr>
      <xdr:spPr>
        <a:xfrm>
          <a:off x="2476500" y="1422400"/>
          <a:ext cx="622300" cy="31750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38100</xdr:rowOff>
    </xdr:from>
    <xdr:to>
      <xdr:col>6</xdr:col>
      <xdr:colOff>622300</xdr:colOff>
      <xdr:row>26</xdr:row>
      <xdr:rowOff>152400</xdr:rowOff>
    </xdr:to>
    <xdr:sp macro="[0]!Sheet7.SaveAsTxtFile" textlink="">
      <xdr:nvSpPr>
        <xdr:cNvPr id="3" name="Rounded Rectangle 2">
          <a:extLst>
            <a:ext uri="{FF2B5EF4-FFF2-40B4-BE49-F238E27FC236}">
              <a16:creationId xmlns:a16="http://schemas.microsoft.com/office/drawing/2014/main" id="{11AAFE36-2EA1-7348-86C1-349F3C563E0F}"/>
            </a:ext>
          </a:extLst>
        </xdr:cNvPr>
        <xdr:cNvSpPr/>
      </xdr:nvSpPr>
      <xdr:spPr>
        <a:xfrm>
          <a:off x="4953000" y="3695700"/>
          <a:ext cx="622300" cy="31750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7E968-81AF-174C-921E-0BA4BD30DF8D}">
  <sheetPr codeName="Sheet1"/>
  <dimension ref="A1:AF34"/>
  <sheetViews>
    <sheetView topLeftCell="I1" zoomScale="102" workbookViewId="0">
      <selection activeCell="V8" sqref="U8:V8"/>
    </sheetView>
  </sheetViews>
  <sheetFormatPr baseColWidth="10" defaultRowHeight="15" customHeight="1" x14ac:dyDescent="0.2"/>
  <cols>
    <col min="6" max="6" width="10.83203125" customWidth="1"/>
  </cols>
  <sheetData>
    <row r="1" spans="1:32" ht="15" customHeight="1" x14ac:dyDescent="0.2">
      <c r="A1" t="s">
        <v>37</v>
      </c>
      <c r="B1" t="s">
        <v>13</v>
      </c>
      <c r="C1" t="s">
        <v>24</v>
      </c>
      <c r="D1" t="s">
        <v>10</v>
      </c>
      <c r="E1" t="s">
        <v>31</v>
      </c>
      <c r="F1" t="s">
        <v>32</v>
      </c>
      <c r="G1" t="s">
        <v>33</v>
      </c>
      <c r="H1" t="s">
        <v>23</v>
      </c>
      <c r="I1" t="s">
        <v>22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R1" t="s">
        <v>11</v>
      </c>
      <c r="S1" t="s">
        <v>13</v>
      </c>
      <c r="T1" s="6" t="s">
        <v>24</v>
      </c>
      <c r="U1" t="s">
        <v>10</v>
      </c>
      <c r="V1" s="6" t="s">
        <v>31</v>
      </c>
      <c r="W1" s="6" t="s">
        <v>32</v>
      </c>
      <c r="X1" t="s">
        <v>33</v>
      </c>
      <c r="Y1" s="6" t="s">
        <v>23</v>
      </c>
      <c r="Z1" t="s">
        <v>22</v>
      </c>
      <c r="AA1" t="s">
        <v>5</v>
      </c>
      <c r="AB1" s="6" t="s">
        <v>6</v>
      </c>
      <c r="AC1" s="6" t="s">
        <v>7</v>
      </c>
      <c r="AD1" t="s">
        <v>8</v>
      </c>
      <c r="AE1" t="s">
        <v>9</v>
      </c>
    </row>
    <row r="2" spans="1:32" ht="15" customHeight="1" x14ac:dyDescent="0.2">
      <c r="B2">
        <v>5.5E-2</v>
      </c>
      <c r="C2">
        <v>0.65</v>
      </c>
      <c r="D2">
        <v>0.35</v>
      </c>
      <c r="E2">
        <v>1.6199999999999999E-2</v>
      </c>
      <c r="F2">
        <v>8.3000000000000001E-3</v>
      </c>
      <c r="G2">
        <v>0.02</v>
      </c>
      <c r="H2">
        <v>0.63</v>
      </c>
      <c r="I2">
        <v>3.0000000000000001E-3</v>
      </c>
      <c r="J2">
        <v>0.08</v>
      </c>
      <c r="K2">
        <v>6.2530000000000001</v>
      </c>
      <c r="L2">
        <v>0.219</v>
      </c>
      <c r="M2">
        <v>0.02</v>
      </c>
      <c r="N2">
        <v>0.04</v>
      </c>
      <c r="S2">
        <v>5.5E-2</v>
      </c>
      <c r="T2">
        <v>0.62</v>
      </c>
      <c r="U2">
        <v>0.35</v>
      </c>
      <c r="V2">
        <v>1.5900000000000001E-2</v>
      </c>
      <c r="W2">
        <v>1.0200000000000001E-2</v>
      </c>
      <c r="X2">
        <v>0.02</v>
      </c>
      <c r="Y2">
        <v>0.57999999999999996</v>
      </c>
      <c r="Z2">
        <v>3.0000000000000001E-3</v>
      </c>
      <c r="AA2">
        <v>0.08</v>
      </c>
      <c r="AB2">
        <v>7.0490000000000004</v>
      </c>
      <c r="AC2">
        <v>0.314</v>
      </c>
      <c r="AD2">
        <v>0.02</v>
      </c>
      <c r="AE2">
        <v>0.04</v>
      </c>
    </row>
    <row r="3" spans="1:32" ht="15" customHeight="1" x14ac:dyDescent="0.2"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S3">
        <f>B3</f>
        <v>1</v>
      </c>
      <c r="T3">
        <v>1</v>
      </c>
      <c r="U3">
        <v>1</v>
      </c>
      <c r="V3">
        <v>1</v>
      </c>
      <c r="W3">
        <f t="shared" ref="W3:AD3" si="0">F3</f>
        <v>1</v>
      </c>
      <c r="X3">
        <v>0</v>
      </c>
      <c r="Y3">
        <f t="shared" si="0"/>
        <v>1</v>
      </c>
      <c r="Z3">
        <v>0</v>
      </c>
      <c r="AA3">
        <v>0</v>
      </c>
      <c r="AB3">
        <f t="shared" si="0"/>
        <v>1</v>
      </c>
      <c r="AC3">
        <f t="shared" si="0"/>
        <v>1</v>
      </c>
      <c r="AD3">
        <f t="shared" si="0"/>
        <v>1</v>
      </c>
      <c r="AE3">
        <f t="shared" ref="AE3" si="1">N3</f>
        <v>1</v>
      </c>
    </row>
    <row r="7" spans="1:32" ht="15" customHeight="1" x14ac:dyDescent="0.2">
      <c r="A7" t="s">
        <v>16</v>
      </c>
      <c r="B7" t="s">
        <v>26</v>
      </c>
      <c r="C7" t="s">
        <v>4</v>
      </c>
      <c r="D7" t="s">
        <v>20</v>
      </c>
      <c r="E7" t="s">
        <v>21</v>
      </c>
      <c r="F7" t="s">
        <v>14</v>
      </c>
      <c r="G7" t="s">
        <v>15</v>
      </c>
      <c r="H7" t="s">
        <v>18</v>
      </c>
      <c r="I7" t="s">
        <v>19</v>
      </c>
      <c r="J7" t="s">
        <v>0</v>
      </c>
      <c r="K7" t="s">
        <v>1</v>
      </c>
      <c r="L7" t="s">
        <v>2</v>
      </c>
      <c r="M7" t="s">
        <v>12</v>
      </c>
      <c r="N7" t="s">
        <v>3</v>
      </c>
      <c r="O7" t="s">
        <v>17</v>
      </c>
      <c r="R7" t="str">
        <f t="shared" ref="R7:AF7" si="2">A7</f>
        <v>psi</v>
      </c>
      <c r="S7" t="str">
        <f t="shared" si="2"/>
        <v>lambda_e</v>
      </c>
      <c r="T7" t="str">
        <f t="shared" si="2"/>
        <v>kappa</v>
      </c>
      <c r="U7" t="str">
        <f t="shared" si="2"/>
        <v>alpha_u</v>
      </c>
      <c r="V7" t="str">
        <f t="shared" si="2"/>
        <v>alpha_o</v>
      </c>
      <c r="W7" t="str">
        <f t="shared" si="2"/>
        <v>lambda_a</v>
      </c>
      <c r="X7" t="str">
        <f t="shared" si="2"/>
        <v>lambda_b</v>
      </c>
      <c r="Y7" t="str">
        <f t="shared" si="2"/>
        <v>a_shock</v>
      </c>
      <c r="Z7" t="str">
        <f t="shared" si="2"/>
        <v>b_shock</v>
      </c>
      <c r="AA7" t="str">
        <f t="shared" si="2"/>
        <v>phi1</v>
      </c>
      <c r="AB7" t="str">
        <f t="shared" si="2"/>
        <v>phi2</v>
      </c>
      <c r="AC7" t="str">
        <f t="shared" si="2"/>
        <v>phi3</v>
      </c>
      <c r="AD7" t="str">
        <f t="shared" si="2"/>
        <v>phi4</v>
      </c>
      <c r="AE7" t="str">
        <f t="shared" si="2"/>
        <v>mu_a</v>
      </c>
      <c r="AF7" t="str">
        <f t="shared" si="2"/>
        <v>mu_b</v>
      </c>
    </row>
    <row r="8" spans="1:32" ht="15" customHeight="1" x14ac:dyDescent="0.2">
      <c r="A8">
        <v>0.85940000000000005</v>
      </c>
      <c r="B8">
        <v>1.3103</v>
      </c>
      <c r="C8">
        <v>0.64039999999999997</v>
      </c>
      <c r="D8">
        <v>22.178100000000001</v>
      </c>
      <c r="E8">
        <v>11.1553</v>
      </c>
      <c r="F8">
        <v>4.5730000000000004</v>
      </c>
      <c r="G8">
        <v>3.9296000000000002</v>
      </c>
      <c r="H8">
        <v>0.18210000000000001</v>
      </c>
      <c r="I8">
        <v>0.28389999999999999</v>
      </c>
      <c r="J8">
        <v>4.0124000000000004</v>
      </c>
      <c r="K8">
        <v>0</v>
      </c>
      <c r="L8">
        <v>1.5744</v>
      </c>
      <c r="M8">
        <v>0</v>
      </c>
      <c r="N8">
        <v>1.6876</v>
      </c>
      <c r="O8">
        <v>2.1776</v>
      </c>
      <c r="R8">
        <v>0.91180000000000005</v>
      </c>
      <c r="S8">
        <v>1.3103</v>
      </c>
      <c r="T8">
        <v>0.57979999999999998</v>
      </c>
      <c r="U8">
        <v>28.5825</v>
      </c>
      <c r="V8">
        <v>12.978999999999999</v>
      </c>
      <c r="W8">
        <v>9.0655000000000001</v>
      </c>
      <c r="X8">
        <v>3.8896000000000002</v>
      </c>
      <c r="Y8">
        <v>0.18210000000000001</v>
      </c>
      <c r="Z8">
        <v>0.28389999999999999</v>
      </c>
      <c r="AA8">
        <v>2.8645</v>
      </c>
      <c r="AB8">
        <v>0</v>
      </c>
      <c r="AC8">
        <v>1.621</v>
      </c>
      <c r="AD8">
        <v>0</v>
      </c>
      <c r="AE8">
        <v>1.9012</v>
      </c>
      <c r="AF8">
        <v>2.7454000000000001</v>
      </c>
    </row>
    <row r="11" spans="1:32" ht="16" x14ac:dyDescent="0.2"/>
    <row r="12" spans="1:32" ht="16" x14ac:dyDescent="0.2"/>
    <row r="13" spans="1:32" ht="16" x14ac:dyDescent="0.2"/>
    <row r="15" spans="1:32" ht="16" x14ac:dyDescent="0.2"/>
    <row r="16" spans="1:32" ht="16" x14ac:dyDescent="0.2"/>
    <row r="17" spans="5:6" ht="16" x14ac:dyDescent="0.2"/>
    <row r="18" spans="5:6" ht="16" x14ac:dyDescent="0.2">
      <c r="F18" t="s">
        <v>27</v>
      </c>
    </row>
    <row r="19" spans="5:6" ht="16" x14ac:dyDescent="0.2">
      <c r="E19" s="2"/>
    </row>
    <row r="20" spans="5:6" ht="16" x14ac:dyDescent="0.2">
      <c r="E20" s="3"/>
    </row>
    <row r="21" spans="5:6" ht="16" x14ac:dyDescent="0.2">
      <c r="E21" s="5"/>
    </row>
    <row r="22" spans="5:6" ht="16" x14ac:dyDescent="0.2">
      <c r="E22" s="5"/>
    </row>
    <row r="23" spans="5:6" ht="16" x14ac:dyDescent="0.2">
      <c r="E23" s="5"/>
    </row>
    <row r="24" spans="5:6" ht="15" customHeight="1" x14ac:dyDescent="0.2">
      <c r="E24" s="5"/>
    </row>
    <row r="25" spans="5:6" ht="15" customHeight="1" x14ac:dyDescent="0.2">
      <c r="E25" s="5"/>
    </row>
    <row r="26" spans="5:6" ht="15" customHeight="1" x14ac:dyDescent="0.2">
      <c r="E26" s="5"/>
    </row>
    <row r="27" spans="5:6" ht="15" customHeight="1" x14ac:dyDescent="0.2">
      <c r="E27" s="5"/>
    </row>
    <row r="28" spans="5:6" ht="16" x14ac:dyDescent="0.2">
      <c r="E28" s="5"/>
    </row>
    <row r="29" spans="5:6" ht="16" x14ac:dyDescent="0.2">
      <c r="E29" s="5"/>
    </row>
    <row r="30" spans="5:6" ht="16" x14ac:dyDescent="0.2">
      <c r="E30" s="5"/>
    </row>
    <row r="31" spans="5:6" ht="17" x14ac:dyDescent="0.25">
      <c r="E31" s="4"/>
    </row>
    <row r="32" spans="5:6" ht="16" x14ac:dyDescent="0.2"/>
    <row r="33" ht="16" x14ac:dyDescent="0.2"/>
    <row r="34" ht="16" x14ac:dyDescent="0.2"/>
  </sheetData>
  <pageMargins left="0.7" right="0.7" top="0.75" bottom="0.75" header="0.3" footer="0.3"/>
  <pageSetup fitToWidth="0" fitToHeight="0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788-0730-0140-A335-81FC83A8E692}">
  <sheetPr codeName="Sheet5"/>
  <dimension ref="A1:M3"/>
  <sheetViews>
    <sheetView workbookViewId="0">
      <selection activeCell="E6" sqref="E6"/>
    </sheetView>
  </sheetViews>
  <sheetFormatPr baseColWidth="10" defaultRowHeight="16" x14ac:dyDescent="0.2"/>
  <cols>
    <col min="2" max="2" width="12.83203125" customWidth="1"/>
  </cols>
  <sheetData>
    <row r="1" spans="1:13" x14ac:dyDescent="0.2">
      <c r="A1" s="1" t="s">
        <v>13</v>
      </c>
      <c r="B1" s="1" t="s">
        <v>25</v>
      </c>
      <c r="C1" s="1" t="s">
        <v>10</v>
      </c>
      <c r="D1" s="1" t="s">
        <v>31</v>
      </c>
      <c r="E1" s="1" t="s">
        <v>32</v>
      </c>
      <c r="F1" s="1" t="s">
        <v>33</v>
      </c>
      <c r="G1" s="1" t="s">
        <v>36</v>
      </c>
      <c r="H1" s="1" t="s">
        <v>22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</row>
    <row r="2" spans="1:13" x14ac:dyDescent="0.2">
      <c r="A2">
        <f>Calibrate!B2</f>
        <v>5.5E-2</v>
      </c>
      <c r="B2">
        <f>Calibrate!C2</f>
        <v>0.65</v>
      </c>
      <c r="C2">
        <f>Calibrate!D2</f>
        <v>0.35</v>
      </c>
      <c r="D2">
        <f>Calibrate!E2</f>
        <v>1.6199999999999999E-2</v>
      </c>
      <c r="E2">
        <v>0.31619999999999998</v>
      </c>
      <c r="F2">
        <f>Calibrate!G2</f>
        <v>0.02</v>
      </c>
      <c r="G2">
        <f>Calibrate!H2</f>
        <v>0.63</v>
      </c>
      <c r="H2">
        <f>Calibrate!I2</f>
        <v>3.0000000000000001E-3</v>
      </c>
      <c r="I2">
        <f>Calibrate!J2</f>
        <v>0.08</v>
      </c>
      <c r="J2">
        <f>Calibrate!K2</f>
        <v>6.2530000000000001</v>
      </c>
      <c r="K2">
        <f>Calibrate!L2</f>
        <v>0.219</v>
      </c>
      <c r="L2">
        <f>Calibrate!M2</f>
        <v>0.02</v>
      </c>
      <c r="M2">
        <f>Calibrate!N2</f>
        <v>0.04</v>
      </c>
    </row>
    <row r="3" spans="1:13" x14ac:dyDescent="0.2">
      <c r="A3">
        <f>Calibrate!B3</f>
        <v>1</v>
      </c>
      <c r="B3">
        <f>Calibrate!C3</f>
        <v>1</v>
      </c>
      <c r="C3">
        <f>Calibrate!D3</f>
        <v>1</v>
      </c>
      <c r="D3">
        <f>Calibrate!E3</f>
        <v>1</v>
      </c>
      <c r="E3">
        <f>Calibrate!F3</f>
        <v>1</v>
      </c>
      <c r="F3">
        <f>Calibrate!G3</f>
        <v>1</v>
      </c>
      <c r="G3">
        <f>Calibrate!H3</f>
        <v>1</v>
      </c>
      <c r="H3">
        <f>Calibrate!I3</f>
        <v>1</v>
      </c>
      <c r="I3">
        <f>Calibrate!J3</f>
        <v>1</v>
      </c>
      <c r="J3">
        <f>Calibrate!K3</f>
        <v>1</v>
      </c>
      <c r="K3">
        <f>Calibrate!L3</f>
        <v>1</v>
      </c>
      <c r="L3">
        <f>Calibrate!M3</f>
        <v>1</v>
      </c>
      <c r="M3">
        <f>Calibrate!N3</f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38F0-42D9-7445-B3CC-F8727FC2A870}">
  <sheetPr codeName="Sheet6"/>
  <dimension ref="A1:M3"/>
  <sheetViews>
    <sheetView tabSelected="1" workbookViewId="0">
      <selection activeCell="F11" sqref="F11"/>
    </sheetView>
  </sheetViews>
  <sheetFormatPr baseColWidth="10" defaultRowHeight="16" x14ac:dyDescent="0.2"/>
  <sheetData>
    <row r="1" spans="1:13" x14ac:dyDescent="0.2">
      <c r="A1" s="1" t="s">
        <v>13</v>
      </c>
      <c r="B1" s="1" t="s">
        <v>24</v>
      </c>
      <c r="C1" s="1" t="s">
        <v>10</v>
      </c>
      <c r="D1" s="1" t="s">
        <v>31</v>
      </c>
      <c r="E1" s="1" t="s">
        <v>32</v>
      </c>
      <c r="F1" s="1" t="s">
        <v>33</v>
      </c>
      <c r="G1" s="1" t="s">
        <v>23</v>
      </c>
      <c r="H1" s="1" t="s">
        <v>22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</row>
    <row r="2" spans="1:13" x14ac:dyDescent="0.2">
      <c r="A2">
        <f>Calibrate!S2</f>
        <v>5.5E-2</v>
      </c>
      <c r="B2">
        <f>Calibrate!T2</f>
        <v>0.62</v>
      </c>
      <c r="C2">
        <f>Calibrate!U2</f>
        <v>0.35</v>
      </c>
      <c r="D2">
        <f>Calibrate!V2</f>
        <v>1.5900000000000001E-2</v>
      </c>
      <c r="E2">
        <v>0.33289999999999997</v>
      </c>
      <c r="F2">
        <f>Calibrate!X2</f>
        <v>0.02</v>
      </c>
      <c r="G2">
        <f>Calibrate!Y2</f>
        <v>0.57999999999999996</v>
      </c>
      <c r="H2">
        <f>Calibrate!Z2</f>
        <v>3.0000000000000001E-3</v>
      </c>
      <c r="I2">
        <f>Calibrate!AA2</f>
        <v>0.08</v>
      </c>
      <c r="J2">
        <f>Calibrate!AB2</f>
        <v>7.0490000000000004</v>
      </c>
      <c r="K2">
        <f>Calibrate!AC2</f>
        <v>0.314</v>
      </c>
      <c r="L2">
        <f>Calibrate!AD2</f>
        <v>0.02</v>
      </c>
      <c r="M2">
        <f>Calibrate!AE2</f>
        <v>0.04</v>
      </c>
    </row>
    <row r="3" spans="1:13" x14ac:dyDescent="0.2">
      <c r="A3">
        <f>Calibrate!S3</f>
        <v>1</v>
      </c>
      <c r="B3">
        <f>Calibrate!T3</f>
        <v>1</v>
      </c>
      <c r="C3">
        <f>Calibrate!U3</f>
        <v>1</v>
      </c>
      <c r="D3">
        <f>Calibrate!V3</f>
        <v>1</v>
      </c>
      <c r="E3">
        <f>Calibrate!W3</f>
        <v>1</v>
      </c>
      <c r="F3">
        <f>Calibrate!X3</f>
        <v>0</v>
      </c>
      <c r="G3">
        <f>Calibrate!Y3</f>
        <v>1</v>
      </c>
      <c r="H3">
        <f>Calibrate!Z3</f>
        <v>0</v>
      </c>
      <c r="I3">
        <f>Calibrate!AA3</f>
        <v>0</v>
      </c>
      <c r="J3">
        <f>Calibrate!AB3</f>
        <v>1</v>
      </c>
      <c r="K3">
        <f>Calibrate!AC3</f>
        <v>1</v>
      </c>
      <c r="L3">
        <f>Calibrate!AD3</f>
        <v>1</v>
      </c>
      <c r="M3">
        <f>Calibrate!AE3</f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6BEC6-A407-D347-BB77-0E4CBA92DE34}">
  <sheetPr codeName="Sheet7"/>
  <dimension ref="A1:Q8"/>
  <sheetViews>
    <sheetView workbookViewId="0"/>
  </sheetViews>
  <sheetFormatPr baseColWidth="10" defaultRowHeight="16" x14ac:dyDescent="0.2"/>
  <sheetData>
    <row r="1" spans="1:17" x14ac:dyDescent="0.2">
      <c r="A1" t="s">
        <v>28</v>
      </c>
      <c r="B1" t="s">
        <v>32</v>
      </c>
      <c r="C1" t="s">
        <v>16</v>
      </c>
      <c r="D1" t="s">
        <v>26</v>
      </c>
      <c r="E1" t="s">
        <v>4</v>
      </c>
      <c r="F1" t="s">
        <v>20</v>
      </c>
      <c r="G1" t="s">
        <v>21</v>
      </c>
      <c r="H1" t="s">
        <v>14</v>
      </c>
      <c r="I1" t="s">
        <v>15</v>
      </c>
      <c r="J1" t="s">
        <v>18</v>
      </c>
      <c r="K1" t="s">
        <v>19</v>
      </c>
      <c r="L1" t="s">
        <v>0</v>
      </c>
      <c r="M1" t="s">
        <v>1</v>
      </c>
      <c r="N1" t="s">
        <v>2</v>
      </c>
      <c r="O1" t="s">
        <v>12</v>
      </c>
      <c r="P1" t="s">
        <v>3</v>
      </c>
      <c r="Q1" t="s">
        <v>17</v>
      </c>
    </row>
    <row r="2" spans="1:17" x14ac:dyDescent="0.2">
      <c r="A2">
        <v>0.75</v>
      </c>
      <c r="B2">
        <v>0.31</v>
      </c>
      <c r="C2">
        <v>0.85940000000000005</v>
      </c>
      <c r="D2">
        <v>1.3103</v>
      </c>
      <c r="E2">
        <v>0.64039999999999997</v>
      </c>
      <c r="F2">
        <v>22.178100000000001</v>
      </c>
      <c r="G2">
        <v>11.1553</v>
      </c>
      <c r="H2">
        <v>4.5730000000000004</v>
      </c>
      <c r="I2">
        <v>3.9296000000000002</v>
      </c>
      <c r="J2">
        <v>0.18210000000000001</v>
      </c>
      <c r="K2">
        <v>0.28389999999999999</v>
      </c>
      <c r="L2">
        <v>4.0124000000000004</v>
      </c>
      <c r="M2">
        <v>0</v>
      </c>
      <c r="N2">
        <v>1.5744</v>
      </c>
      <c r="O2">
        <v>0</v>
      </c>
      <c r="P2">
        <v>1.6876</v>
      </c>
      <c r="Q2">
        <v>2.1776</v>
      </c>
    </row>
    <row r="3" spans="1:17" x14ac:dyDescent="0.2">
      <c r="A3">
        <v>0.75</v>
      </c>
      <c r="B3">
        <v>0.31</v>
      </c>
      <c r="C3" s="1">
        <f>Calibrate!A$8</f>
        <v>0.85940000000000005</v>
      </c>
      <c r="D3" s="1">
        <f>Calibrate!B$8</f>
        <v>1.3103</v>
      </c>
      <c r="E3">
        <v>0.57979999999999998</v>
      </c>
      <c r="F3" s="1">
        <f>Calibrate!D$8</f>
        <v>22.178100000000001</v>
      </c>
      <c r="G3" s="1">
        <f>Calibrate!E$8</f>
        <v>11.1553</v>
      </c>
      <c r="H3" s="1">
        <f>Calibrate!F$8</f>
        <v>4.5730000000000004</v>
      </c>
      <c r="I3" s="1">
        <f>Calibrate!G$8</f>
        <v>3.9296000000000002</v>
      </c>
      <c r="J3" s="1">
        <f>Calibrate!H$8</f>
        <v>0.18210000000000001</v>
      </c>
      <c r="K3" s="1">
        <f>Calibrate!I$8</f>
        <v>0.28389999999999999</v>
      </c>
      <c r="L3" s="1">
        <f>Calibrate!J$8</f>
        <v>4.0124000000000004</v>
      </c>
      <c r="M3" s="1">
        <f>Calibrate!K$8</f>
        <v>0</v>
      </c>
      <c r="N3" s="1">
        <f>Calibrate!L$8</f>
        <v>1.5744</v>
      </c>
      <c r="O3" s="1">
        <f>Calibrate!M$8</f>
        <v>0</v>
      </c>
      <c r="P3" s="1">
        <f>Calibrate!N$8</f>
        <v>1.6876</v>
      </c>
      <c r="Q3" s="1">
        <f>Calibrate!O$8</f>
        <v>2.1776</v>
      </c>
    </row>
    <row r="4" spans="1:17" x14ac:dyDescent="0.2">
      <c r="A4">
        <v>0.75</v>
      </c>
      <c r="B4">
        <v>0.31</v>
      </c>
      <c r="C4">
        <v>0.85940000000000005</v>
      </c>
      <c r="D4">
        <v>1.3103</v>
      </c>
      <c r="E4">
        <v>0.64039999999999997</v>
      </c>
      <c r="F4">
        <v>28.5825</v>
      </c>
      <c r="G4">
        <v>12.978999999999999</v>
      </c>
      <c r="H4">
        <v>4.5730000000000004</v>
      </c>
      <c r="I4">
        <v>3.9296000000000002</v>
      </c>
      <c r="J4">
        <v>0.18210000000000001</v>
      </c>
      <c r="K4">
        <v>0.28389999999999999</v>
      </c>
      <c r="L4">
        <v>4.0124000000000004</v>
      </c>
      <c r="M4">
        <v>0</v>
      </c>
      <c r="N4">
        <v>1.5744</v>
      </c>
      <c r="O4">
        <v>0</v>
      </c>
      <c r="P4">
        <v>1.6876</v>
      </c>
      <c r="Q4">
        <v>2.1776</v>
      </c>
    </row>
    <row r="5" spans="1:17" x14ac:dyDescent="0.2">
      <c r="A5">
        <v>0.75</v>
      </c>
      <c r="B5">
        <v>0.31</v>
      </c>
      <c r="C5" s="1">
        <f>Calibrate!A$8</f>
        <v>0.85940000000000005</v>
      </c>
      <c r="D5" s="1">
        <f>Calibrate!B$8</f>
        <v>1.3103</v>
      </c>
      <c r="E5" s="1">
        <f>Calibrate!C$8</f>
        <v>0.64039999999999997</v>
      </c>
      <c r="F5" s="1">
        <f>Calibrate!D$8</f>
        <v>22.178100000000001</v>
      </c>
      <c r="G5" s="1">
        <f>Calibrate!E$8</f>
        <v>11.1553</v>
      </c>
      <c r="H5">
        <v>9.0655000000000001</v>
      </c>
      <c r="I5">
        <v>3.8896000000000002</v>
      </c>
      <c r="J5" s="1">
        <f>Calibrate!H$8</f>
        <v>0.18210000000000001</v>
      </c>
      <c r="K5" s="1">
        <f>Calibrate!I$8</f>
        <v>0.28389999999999999</v>
      </c>
      <c r="L5" s="1">
        <f>Calibrate!J$8</f>
        <v>4.0124000000000004</v>
      </c>
      <c r="M5" s="1">
        <f>Calibrate!K$8</f>
        <v>0</v>
      </c>
      <c r="N5" s="1">
        <f>Calibrate!L$8</f>
        <v>1.5744</v>
      </c>
      <c r="O5" s="1">
        <f>Calibrate!M$8</f>
        <v>0</v>
      </c>
      <c r="P5" s="1">
        <f>Calibrate!N$8</f>
        <v>1.6876</v>
      </c>
      <c r="Q5" s="1">
        <f>Calibrate!O$8</f>
        <v>2.1776</v>
      </c>
    </row>
    <row r="6" spans="1:17" x14ac:dyDescent="0.2">
      <c r="A6">
        <v>0.75</v>
      </c>
      <c r="B6">
        <v>0.31</v>
      </c>
      <c r="C6" s="1">
        <f>Calibrate!A$8</f>
        <v>0.85940000000000005</v>
      </c>
      <c r="D6" s="1">
        <f>Calibrate!B$8</f>
        <v>1.3103</v>
      </c>
      <c r="E6" s="1">
        <f>Calibrate!C$8</f>
        <v>0.64039999999999997</v>
      </c>
      <c r="F6" s="1">
        <f>Calibrate!D$8</f>
        <v>22.178100000000001</v>
      </c>
      <c r="G6" s="1">
        <f>Calibrate!E$8</f>
        <v>11.1553</v>
      </c>
      <c r="H6" s="1">
        <f>Calibrate!F$8</f>
        <v>4.5730000000000004</v>
      </c>
      <c r="I6" s="1">
        <f>Calibrate!G$8</f>
        <v>3.9296000000000002</v>
      </c>
      <c r="J6" s="1">
        <f>Calibrate!H$8</f>
        <v>0.18210000000000001</v>
      </c>
      <c r="K6" s="1">
        <f>Calibrate!I$8</f>
        <v>0.28389999999999999</v>
      </c>
      <c r="L6" s="1">
        <f>Calibrate!J$8</f>
        <v>4.0124000000000004</v>
      </c>
      <c r="M6" s="1">
        <f>Calibrate!K$8</f>
        <v>0</v>
      </c>
      <c r="N6" s="1">
        <v>1.421</v>
      </c>
      <c r="O6" s="1">
        <f>Calibrate!M$8</f>
        <v>0</v>
      </c>
      <c r="P6" s="1">
        <f>Calibrate!N$8</f>
        <v>1.6876</v>
      </c>
      <c r="Q6" s="1">
        <f>Calibrate!O$8</f>
        <v>2.1776</v>
      </c>
    </row>
    <row r="7" spans="1:17" x14ac:dyDescent="0.2">
      <c r="A7">
        <v>0.75</v>
      </c>
      <c r="B7">
        <v>0.31</v>
      </c>
      <c r="C7" s="1">
        <f>Calibrate!A$8</f>
        <v>0.85940000000000005</v>
      </c>
      <c r="D7" s="1">
        <f>Calibrate!B$8</f>
        <v>1.3103</v>
      </c>
      <c r="E7" s="1">
        <f>Calibrate!C$8</f>
        <v>0.64039999999999997</v>
      </c>
      <c r="F7" s="1">
        <f>Calibrate!D$8</f>
        <v>22.178100000000001</v>
      </c>
      <c r="G7" s="1">
        <f>Calibrate!E$8</f>
        <v>11.1553</v>
      </c>
      <c r="H7" s="1">
        <f>Calibrate!F$8</f>
        <v>4.5730000000000004</v>
      </c>
      <c r="I7" s="1">
        <f>Calibrate!G$8</f>
        <v>3.9296000000000002</v>
      </c>
      <c r="J7" s="1">
        <f>Calibrate!H$8</f>
        <v>0.18210000000000001</v>
      </c>
      <c r="K7" s="1">
        <f>Calibrate!I$8</f>
        <v>0.28389999999999999</v>
      </c>
      <c r="L7" s="1">
        <f>Calibrate!J$8</f>
        <v>4.0124000000000004</v>
      </c>
      <c r="M7" s="1">
        <f>Calibrate!K$8</f>
        <v>0</v>
      </c>
      <c r="N7" s="1">
        <f>Calibrate!L$8</f>
        <v>1.5744</v>
      </c>
      <c r="O7" s="1">
        <f>Calibrate!M$8</f>
        <v>0</v>
      </c>
      <c r="P7">
        <v>1.9012</v>
      </c>
      <c r="Q7">
        <v>2.7454000000000001</v>
      </c>
    </row>
    <row r="8" spans="1:17" x14ac:dyDescent="0.2"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80B2-4CB4-D943-A5A3-ACC0CDABFFE3}">
  <sheetPr codeName="Sheet2"/>
  <dimension ref="A1:E7"/>
  <sheetViews>
    <sheetView workbookViewId="0">
      <selection activeCell="F11" sqref="F11"/>
    </sheetView>
  </sheetViews>
  <sheetFormatPr baseColWidth="10" defaultRowHeight="16" x14ac:dyDescent="0.2"/>
  <sheetData>
    <row r="1" spans="1:5" x14ac:dyDescent="0.2">
      <c r="A1" t="s">
        <v>28</v>
      </c>
      <c r="B1" t="s">
        <v>30</v>
      </c>
      <c r="C1" t="s">
        <v>24</v>
      </c>
      <c r="D1" t="s">
        <v>29</v>
      </c>
      <c r="E1" t="s">
        <v>35</v>
      </c>
    </row>
    <row r="2" spans="1:5" x14ac:dyDescent="0.2">
      <c r="A2">
        <v>0.75</v>
      </c>
      <c r="B2">
        <v>0.158</v>
      </c>
      <c r="C2">
        <v>0.54620000000000002</v>
      </c>
      <c r="D2">
        <v>2821.6714000000002</v>
      </c>
      <c r="E2">
        <f>C2*(1-B2)</f>
        <v>0.45990039999999999</v>
      </c>
    </row>
    <row r="3" spans="1:5" x14ac:dyDescent="0.2">
      <c r="A3">
        <v>0.8</v>
      </c>
      <c r="B3">
        <v>0.1736</v>
      </c>
      <c r="C3">
        <v>0.69059999999999999</v>
      </c>
      <c r="D3">
        <v>3543.0095999999999</v>
      </c>
      <c r="E3">
        <f t="shared" ref="E3:E7" si="0">C3*(1-B3)</f>
        <v>0.57071183999999997</v>
      </c>
    </row>
    <row r="4" spans="1:5" x14ac:dyDescent="0.2">
      <c r="A4">
        <v>0.85</v>
      </c>
      <c r="B4">
        <v>0.18540000000000001</v>
      </c>
      <c r="C4">
        <v>0.75409999999999999</v>
      </c>
      <c r="D4">
        <v>3635.4859999999999</v>
      </c>
      <c r="E4">
        <f t="shared" si="0"/>
        <v>0.61428985999999997</v>
      </c>
    </row>
    <row r="5" spans="1:5" x14ac:dyDescent="0.2">
      <c r="A5">
        <v>0.9</v>
      </c>
      <c r="B5">
        <v>0.23330000000000001</v>
      </c>
      <c r="C5">
        <v>0.75980000000000003</v>
      </c>
      <c r="D5">
        <v>3554.86</v>
      </c>
      <c r="E5">
        <f t="shared" si="0"/>
        <v>0.58253865999999999</v>
      </c>
    </row>
    <row r="6" spans="1:5" x14ac:dyDescent="0.2">
      <c r="A6">
        <v>0.95</v>
      </c>
      <c r="B6">
        <v>0.28810000000000002</v>
      </c>
      <c r="C6">
        <v>0.7631</v>
      </c>
      <c r="D6">
        <v>3104.6871000000001</v>
      </c>
      <c r="E6">
        <f t="shared" si="0"/>
        <v>0.54325088999999993</v>
      </c>
    </row>
    <row r="7" spans="1:5" x14ac:dyDescent="0.2">
      <c r="A7">
        <v>1</v>
      </c>
      <c r="B7">
        <v>0.37640000000000001</v>
      </c>
      <c r="C7">
        <v>0.75409999999999999</v>
      </c>
      <c r="D7">
        <v>2603.4205000000002</v>
      </c>
      <c r="E7">
        <f t="shared" si="0"/>
        <v>0.47025675999999994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13C04-C589-1B4D-98F9-D9CF2F995E4C}">
  <sheetPr codeName="Sheet3"/>
  <dimension ref="A1:E7"/>
  <sheetViews>
    <sheetView workbookViewId="0">
      <selection activeCell="E1" sqref="E1"/>
    </sheetView>
  </sheetViews>
  <sheetFormatPr baseColWidth="10" defaultRowHeight="16" x14ac:dyDescent="0.2"/>
  <sheetData>
    <row r="1" spans="1:5" x14ac:dyDescent="0.2">
      <c r="A1" s="1" t="s">
        <v>34</v>
      </c>
      <c r="B1" s="1" t="s">
        <v>30</v>
      </c>
      <c r="C1" s="1" t="s">
        <v>24</v>
      </c>
      <c r="D1" s="1" t="s">
        <v>29</v>
      </c>
      <c r="E1" s="1" t="s">
        <v>35</v>
      </c>
    </row>
    <row r="2" spans="1:5" x14ac:dyDescent="0.2">
      <c r="A2" s="1">
        <v>20</v>
      </c>
      <c r="B2">
        <v>0.12989999999999999</v>
      </c>
      <c r="C2">
        <v>0.87929999999999997</v>
      </c>
      <c r="D2">
        <v>2617.5920000000001</v>
      </c>
      <c r="E2">
        <v>0.4229</v>
      </c>
    </row>
    <row r="3" spans="1:5" x14ac:dyDescent="0.2">
      <c r="A3" s="1">
        <v>15</v>
      </c>
      <c r="B3">
        <v>0.1212</v>
      </c>
      <c r="C3">
        <v>0.88619999999999999</v>
      </c>
      <c r="D3">
        <v>2783.4760000000001</v>
      </c>
      <c r="E3">
        <v>0.40579999999999999</v>
      </c>
    </row>
    <row r="4" spans="1:5" x14ac:dyDescent="0.2">
      <c r="A4" s="1">
        <v>10</v>
      </c>
      <c r="B4">
        <v>0.1208</v>
      </c>
      <c r="C4">
        <v>0.88790000000000002</v>
      </c>
      <c r="D4">
        <v>2892.4843999999998</v>
      </c>
      <c r="E4">
        <v>0.41020000000000001</v>
      </c>
    </row>
    <row r="5" spans="1:5" x14ac:dyDescent="0.2">
      <c r="A5" s="1">
        <v>5</v>
      </c>
      <c r="B5">
        <v>0.11119999999999999</v>
      </c>
      <c r="C5">
        <v>0.89449999999999996</v>
      </c>
      <c r="D5">
        <v>3202.1696999999999</v>
      </c>
      <c r="E5">
        <v>0.37909999999999999</v>
      </c>
    </row>
    <row r="6" spans="1:5" x14ac:dyDescent="0.2">
      <c r="A6" s="1"/>
      <c r="B6" s="1"/>
      <c r="C6" s="1"/>
      <c r="D6" s="1"/>
      <c r="E6" s="1"/>
    </row>
    <row r="7" spans="1:5" x14ac:dyDescent="0.2">
      <c r="A7" s="1"/>
      <c r="B7" s="1"/>
      <c r="C7" s="1"/>
      <c r="D7" s="1"/>
      <c r="E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Calibrate</vt:lpstr>
      <vt:lpstr>Calibration_1</vt:lpstr>
      <vt:lpstr>Calibration_2</vt:lpstr>
      <vt:lpstr>Simulation</vt:lpstr>
      <vt:lpstr>Policy1</vt:lpstr>
      <vt:lpstr>Policy2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2020-04-23T15:36:33Z</dcterms:created>
  <dcterms:modified xsi:type="dcterms:W3CDTF">2022-09-26T19:26:57Z</dcterms:modified>
</cp:coreProperties>
</file>